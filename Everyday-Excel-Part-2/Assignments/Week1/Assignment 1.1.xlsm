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Coursera\Everyday-Excel-Part-2\Assignments\Week1\"/>
    </mc:Choice>
  </mc:AlternateContent>
  <bookViews>
    <workbookView xWindow="0" yWindow="0" windowWidth="19200" windowHeight="7300"/>
  </bookViews>
  <sheets>
    <sheet name="Sheet1" sheetId="1" r:id="rId1"/>
    <sheet name="Original data" sheetId="2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0" i="1" l="1"/>
  <c r="E20" i="1"/>
  <c r="L14" i="1" l="1"/>
  <c r="K14" i="1"/>
  <c r="J14" i="1"/>
  <c r="I14" i="1"/>
  <c r="H14" i="1"/>
  <c r="G14" i="1"/>
  <c r="F14" i="1"/>
  <c r="E14" i="1"/>
  <c r="D14" i="1"/>
  <c r="C14" i="1"/>
  <c r="L14" i="2" l="1"/>
  <c r="K14" i="2"/>
  <c r="J14" i="2"/>
  <c r="I14" i="2"/>
  <c r="H14" i="2"/>
  <c r="G14" i="2"/>
  <c r="F14" i="2"/>
  <c r="E14" i="2"/>
  <c r="D14" i="2"/>
  <c r="C14" i="2"/>
</calcChain>
</file>

<file path=xl/sharedStrings.xml><?xml version="1.0" encoding="utf-8"?>
<sst xmlns="http://schemas.openxmlformats.org/spreadsheetml/2006/main" count="76" uniqueCount="26">
  <si>
    <t>Flour</t>
  </si>
  <si>
    <t>Eggs</t>
  </si>
  <si>
    <t>Sugar</t>
  </si>
  <si>
    <t>Baking powder</t>
  </si>
  <si>
    <t>Baking soda</t>
  </si>
  <si>
    <t>cups</t>
  </si>
  <si>
    <t>tsp</t>
  </si>
  <si>
    <t>Salt</t>
  </si>
  <si>
    <t>Milk</t>
  </si>
  <si>
    <t>Butter</t>
  </si>
  <si>
    <t>Vanilla</t>
  </si>
  <si>
    <t>Shopping List</t>
  </si>
  <si>
    <t>Abby</t>
  </si>
  <si>
    <t>Bill</t>
  </si>
  <si>
    <t>Cathy</t>
  </si>
  <si>
    <t>Derek</t>
  </si>
  <si>
    <t>Emily</t>
  </si>
  <si>
    <t>Name</t>
  </si>
  <si>
    <t>Date</t>
  </si>
  <si>
    <t>Bananas</t>
  </si>
  <si>
    <t>Name:</t>
  </si>
  <si>
    <t>Ingredient:</t>
  </si>
  <si>
    <t>Total:</t>
  </si>
  <si>
    <t>Total</t>
  </si>
  <si>
    <t>(*Do NOT move the location of these cells!*)</t>
  </si>
  <si>
    <t>(*Do NOT rename Sheet1!*)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</si>
</sst>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8" xfId="0" applyBorder="1"/>
    <xf numFmtId="0" fontId="0" fillId="2" borderId="7" xfId="0" applyFill="1" applyBorder="1"/>
    <xf numFmtId="0" fontId="1" fillId="3" borderId="1" xfId="0" applyFont="1" applyFill="1" applyBorder="1"/>
    <xf numFmtId="0" fontId="0" fillId="0" borderId="0" xfId="0" applyFill="1" applyBorder="1"/>
    <xf numFmtId="14" fontId="1" fillId="3" borderId="0" xfId="0" applyNumberFormat="1" applyFont="1" applyFill="1" applyBorder="1"/>
    <xf numFmtId="14" fontId="1" fillId="3" borderId="9" xfId="0" applyNumberFormat="1" applyFont="1" applyFill="1" applyBorder="1"/>
    <xf numFmtId="0" fontId="0" fillId="0" borderId="10" xfId="0" applyBorder="1"/>
  </cellXfs>
  <cellStyles count="1">
    <cellStyle name="Normal" xfId="0" builtinId="0"/>
  </cellStyles>
  <dxfs count="4"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127000</xdr:colOff>
          <xdr:row>16</xdr:row>
          <xdr:rowOff>177800</xdr:rowOff>
        </xdr:from>
        <xdr:to>
          <xdr:col>8</xdr:col>
          <xdr:colOff>514350</xdr:colOff>
          <xdr:row>19</xdr:row>
          <xdr:rowOff>57150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xmlns="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GRADE!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6" name="ShoppingTable" displayName="ShoppingTable" ref="A3:L14" totalsRowCount="1" headerRowDxfId="1">
  <autoFilter ref="A3:L13"/>
  <tableColumns count="12">
    <tableColumn id="1" name="Date" totalsRowLabel="Total" dataDxfId="0"/>
    <tableColumn id="2" name="Name"/>
    <tableColumn id="3" name="Flour" totalsRowFunction="sum"/>
    <tableColumn id="4" name="Sugar" totalsRowFunction="sum"/>
    <tableColumn id="5" name="Baking powder" totalsRowFunction="sum"/>
    <tableColumn id="6" name="Baking soda" totalsRowFunction="sum"/>
    <tableColumn id="7" name="Salt" totalsRowFunction="sum"/>
    <tableColumn id="8" name="Milk" totalsRowFunction="sum"/>
    <tableColumn id="9" name="Butter" totalsRowFunction="sum"/>
    <tableColumn id="10" name="Vanilla" totalsRowFunction="sum"/>
    <tableColumn id="11" name="Eggs" totalsRowFunction="sum"/>
    <tableColumn id="12" name="Bananas" totalsRowFunction="sum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id="4" name="Table25" displayName="Table25" ref="A3:L14" totalsRowCount="1" headerRowDxfId="3">
  <autoFilter ref="A3:L13"/>
  <tableColumns count="12">
    <tableColumn id="1" name="Date" totalsRowLabel="Total" dataDxfId="2"/>
    <tableColumn id="2" name="Name"/>
    <tableColumn id="3" name="Flour" totalsRowFunction="sum"/>
    <tableColumn id="4" name="Sugar" totalsRowFunction="sum"/>
    <tableColumn id="5" name="Baking powder" totalsRowFunction="sum"/>
    <tableColumn id="6" name="Baking soda" totalsRowFunction="sum"/>
    <tableColumn id="7" name="Salt" totalsRowFunction="sum"/>
    <tableColumn id="8" name="Milk" totalsRowFunction="sum"/>
    <tableColumn id="9" name="Butter" totalsRowFunction="sum"/>
    <tableColumn id="10" name="Vanilla" totalsRowFunction="sum"/>
    <tableColumn id="11" name="Eggs" totalsRowFunction="sum"/>
    <tableColumn id="12" name="Bananas" totalsRowFunction="sum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23"/>
  <sheetViews>
    <sheetView tabSelected="1" topLeftCell="A7" zoomScaleNormal="100" workbookViewId="0">
      <selection activeCell="E17" sqref="E17"/>
    </sheetView>
  </sheetViews>
  <sheetFormatPr defaultRowHeight="14.5" x14ac:dyDescent="0.35"/>
  <cols>
    <col min="1" max="1" width="12.7265625" bestFit="1" customWidth="1"/>
    <col min="5" max="5" width="14.453125" customWidth="1"/>
    <col min="6" max="6" width="11.90625" customWidth="1"/>
  </cols>
  <sheetData>
    <row r="1" spans="1:12" x14ac:dyDescent="0.35">
      <c r="A1" s="2" t="s">
        <v>11</v>
      </c>
    </row>
    <row r="2" spans="1:12" x14ac:dyDescent="0.35">
      <c r="C2" t="s">
        <v>5</v>
      </c>
      <c r="D2" t="s">
        <v>5</v>
      </c>
      <c r="E2" t="s">
        <v>6</v>
      </c>
      <c r="F2" t="s">
        <v>6</v>
      </c>
      <c r="G2" t="s">
        <v>6</v>
      </c>
      <c r="H2" t="s">
        <v>5</v>
      </c>
      <c r="I2" t="s">
        <v>5</v>
      </c>
      <c r="J2" t="s">
        <v>6</v>
      </c>
    </row>
    <row r="3" spans="1:12" x14ac:dyDescent="0.35">
      <c r="A3" s="2" t="s">
        <v>18</v>
      </c>
      <c r="B3" s="2" t="s">
        <v>17</v>
      </c>
      <c r="C3" s="2" t="s">
        <v>0</v>
      </c>
      <c r="D3" s="2" t="s">
        <v>2</v>
      </c>
      <c r="E3" s="2" t="s">
        <v>3</v>
      </c>
      <c r="F3" s="2" t="s">
        <v>4</v>
      </c>
      <c r="G3" s="2" t="s">
        <v>7</v>
      </c>
      <c r="H3" s="2" t="s">
        <v>8</v>
      </c>
      <c r="I3" s="2" t="s">
        <v>9</v>
      </c>
      <c r="J3" s="2" t="s">
        <v>10</v>
      </c>
      <c r="K3" s="2" t="s">
        <v>1</v>
      </c>
      <c r="L3" s="2" t="s">
        <v>19</v>
      </c>
    </row>
    <row r="4" spans="1:12" x14ac:dyDescent="0.35">
      <c r="A4" s="1">
        <v>43923</v>
      </c>
      <c r="B4" t="s">
        <v>12</v>
      </c>
      <c r="C4">
        <v>2</v>
      </c>
      <c r="D4">
        <v>0.25</v>
      </c>
      <c r="E4">
        <v>4</v>
      </c>
      <c r="F4">
        <v>0.25</v>
      </c>
      <c r="G4">
        <v>0.5</v>
      </c>
      <c r="H4">
        <v>1.5</v>
      </c>
      <c r="I4">
        <v>0.25</v>
      </c>
      <c r="J4">
        <v>2</v>
      </c>
      <c r="K4">
        <v>1</v>
      </c>
      <c r="L4">
        <v>0</v>
      </c>
    </row>
    <row r="5" spans="1:12" x14ac:dyDescent="0.35">
      <c r="A5" s="1">
        <v>43923</v>
      </c>
      <c r="B5" t="s">
        <v>13</v>
      </c>
      <c r="C5">
        <v>5</v>
      </c>
      <c r="D5">
        <v>2</v>
      </c>
      <c r="E5">
        <v>1</v>
      </c>
      <c r="F5">
        <v>1</v>
      </c>
      <c r="G5">
        <v>1.5</v>
      </c>
      <c r="H5">
        <v>5</v>
      </c>
      <c r="I5">
        <v>1.5</v>
      </c>
      <c r="J5">
        <v>3</v>
      </c>
      <c r="K5">
        <v>12</v>
      </c>
      <c r="L5">
        <v>2</v>
      </c>
    </row>
    <row r="6" spans="1:12" x14ac:dyDescent="0.35">
      <c r="A6" s="1">
        <v>43925</v>
      </c>
      <c r="B6" t="s">
        <v>14</v>
      </c>
      <c r="C6">
        <v>3</v>
      </c>
      <c r="D6">
        <v>0.75</v>
      </c>
      <c r="E6">
        <v>2</v>
      </c>
      <c r="F6">
        <v>0.5</v>
      </c>
      <c r="G6">
        <v>0.5</v>
      </c>
      <c r="H6">
        <v>2</v>
      </c>
      <c r="I6">
        <v>1</v>
      </c>
      <c r="J6">
        <v>1.5</v>
      </c>
      <c r="K6">
        <v>4</v>
      </c>
      <c r="L6">
        <v>0</v>
      </c>
    </row>
    <row r="7" spans="1:12" x14ac:dyDescent="0.35">
      <c r="A7" s="1">
        <v>43926</v>
      </c>
      <c r="B7" t="s">
        <v>15</v>
      </c>
      <c r="C7">
        <v>11.25</v>
      </c>
      <c r="D7">
        <v>3.75</v>
      </c>
      <c r="E7">
        <v>0</v>
      </c>
      <c r="F7">
        <v>0</v>
      </c>
      <c r="G7">
        <v>2.5</v>
      </c>
      <c r="H7">
        <v>0</v>
      </c>
      <c r="I7">
        <v>5</v>
      </c>
      <c r="J7">
        <v>5</v>
      </c>
      <c r="K7">
        <v>5</v>
      </c>
      <c r="L7">
        <v>0</v>
      </c>
    </row>
    <row r="8" spans="1:12" x14ac:dyDescent="0.35">
      <c r="A8" s="1">
        <v>43927</v>
      </c>
      <c r="B8" t="s">
        <v>13</v>
      </c>
      <c r="C8">
        <v>6.5</v>
      </c>
      <c r="D8">
        <v>0.25</v>
      </c>
      <c r="E8">
        <v>0</v>
      </c>
      <c r="F8">
        <v>0</v>
      </c>
      <c r="G8">
        <v>0</v>
      </c>
      <c r="H8">
        <v>0</v>
      </c>
      <c r="I8">
        <v>0.5</v>
      </c>
      <c r="J8">
        <v>0</v>
      </c>
      <c r="K8">
        <v>0</v>
      </c>
      <c r="L8">
        <v>1</v>
      </c>
    </row>
    <row r="9" spans="1:12" x14ac:dyDescent="0.35">
      <c r="A9" s="1">
        <v>43927</v>
      </c>
      <c r="B9" t="s">
        <v>12</v>
      </c>
      <c r="C9">
        <v>4</v>
      </c>
      <c r="D9">
        <v>0.5</v>
      </c>
      <c r="E9">
        <v>8</v>
      </c>
      <c r="F9">
        <v>0.5</v>
      </c>
      <c r="G9">
        <v>1</v>
      </c>
      <c r="H9">
        <v>3</v>
      </c>
      <c r="I9">
        <v>0.5</v>
      </c>
      <c r="J9">
        <v>4</v>
      </c>
      <c r="K9">
        <v>2</v>
      </c>
      <c r="L9">
        <v>0</v>
      </c>
    </row>
    <row r="10" spans="1:12" x14ac:dyDescent="0.35">
      <c r="A10" s="1">
        <v>43928</v>
      </c>
      <c r="B10" t="s">
        <v>16</v>
      </c>
      <c r="C10">
        <v>2</v>
      </c>
      <c r="D10">
        <v>1</v>
      </c>
      <c r="E10">
        <v>0.25</v>
      </c>
      <c r="F10">
        <v>0.5</v>
      </c>
      <c r="G10">
        <v>1.5</v>
      </c>
      <c r="H10">
        <v>2</v>
      </c>
      <c r="I10">
        <v>1.5</v>
      </c>
      <c r="J10">
        <v>2</v>
      </c>
      <c r="K10">
        <v>3</v>
      </c>
      <c r="L10">
        <v>1</v>
      </c>
    </row>
    <row r="11" spans="1:12" x14ac:dyDescent="0.35">
      <c r="A11" s="1">
        <v>43930</v>
      </c>
      <c r="B11" t="s">
        <v>12</v>
      </c>
      <c r="C11">
        <v>6.75</v>
      </c>
      <c r="D11">
        <v>2.25</v>
      </c>
      <c r="E11">
        <v>0</v>
      </c>
      <c r="F11">
        <v>0</v>
      </c>
      <c r="G11">
        <v>1.5</v>
      </c>
      <c r="H11">
        <v>0</v>
      </c>
      <c r="I11">
        <v>3</v>
      </c>
      <c r="J11">
        <v>3</v>
      </c>
      <c r="K11">
        <v>3</v>
      </c>
      <c r="L11">
        <v>0</v>
      </c>
    </row>
    <row r="12" spans="1:12" x14ac:dyDescent="0.35">
      <c r="A12" s="1">
        <v>43932</v>
      </c>
      <c r="B12" t="s">
        <v>15</v>
      </c>
      <c r="C12">
        <v>0</v>
      </c>
      <c r="D12">
        <v>2</v>
      </c>
      <c r="E12">
        <v>0.5</v>
      </c>
      <c r="F12">
        <v>0.25</v>
      </c>
      <c r="G12">
        <v>0.25</v>
      </c>
      <c r="H12">
        <v>0.5</v>
      </c>
      <c r="I12">
        <v>2</v>
      </c>
      <c r="J12">
        <v>1</v>
      </c>
      <c r="K12">
        <v>1</v>
      </c>
      <c r="L12">
        <v>0</v>
      </c>
    </row>
    <row r="13" spans="1:12" x14ac:dyDescent="0.35">
      <c r="A13" s="1">
        <v>43932</v>
      </c>
      <c r="B13" t="s">
        <v>14</v>
      </c>
      <c r="C13">
        <v>8</v>
      </c>
      <c r="D13">
        <v>3</v>
      </c>
      <c r="E13">
        <v>1</v>
      </c>
      <c r="F13">
        <v>1.5</v>
      </c>
      <c r="G13">
        <v>0.75</v>
      </c>
      <c r="H13">
        <v>2.5</v>
      </c>
      <c r="I13">
        <v>3</v>
      </c>
      <c r="J13">
        <v>1.5</v>
      </c>
      <c r="K13">
        <v>2</v>
      </c>
      <c r="L13">
        <v>1.5</v>
      </c>
    </row>
    <row r="14" spans="1:12" x14ac:dyDescent="0.35">
      <c r="A14" t="s">
        <v>23</v>
      </c>
      <c r="C14">
        <f>SUBTOTAL(109,ShoppingTable[Flour])</f>
        <v>48.5</v>
      </c>
      <c r="D14">
        <f>SUBTOTAL(109,ShoppingTable[Sugar])</f>
        <v>15.75</v>
      </c>
      <c r="E14">
        <f>SUBTOTAL(109,ShoppingTable[Baking powder])</f>
        <v>16.75</v>
      </c>
      <c r="F14">
        <f>SUBTOTAL(109,ShoppingTable[Baking soda])</f>
        <v>4.5</v>
      </c>
      <c r="G14">
        <f>SUBTOTAL(109,ShoppingTable[Salt])</f>
        <v>10</v>
      </c>
      <c r="H14">
        <f>SUBTOTAL(109,ShoppingTable[Milk])</f>
        <v>16.5</v>
      </c>
      <c r="I14">
        <f>SUBTOTAL(109,ShoppingTable[Butter])</f>
        <v>18.25</v>
      </c>
      <c r="J14">
        <f>SUBTOTAL(109,ShoppingTable[Vanilla])</f>
        <v>23</v>
      </c>
      <c r="K14">
        <f>SUBTOTAL(109,ShoppingTable[Eggs])</f>
        <v>33</v>
      </c>
      <c r="L14">
        <f>SUBTOTAL(109,ShoppingTable[Bananas])</f>
        <v>5.5</v>
      </c>
    </row>
    <row r="17" spans="4:6" x14ac:dyDescent="0.35">
      <c r="D17" s="3" t="s">
        <v>20</v>
      </c>
      <c r="E17" s="14" t="s">
        <v>13</v>
      </c>
      <c r="F17" s="4"/>
    </row>
    <row r="18" spans="4:6" x14ac:dyDescent="0.35">
      <c r="D18" s="5" t="s">
        <v>21</v>
      </c>
      <c r="E18" s="13" t="s">
        <v>1</v>
      </c>
      <c r="F18" s="6"/>
    </row>
    <row r="19" spans="4:6" x14ac:dyDescent="0.35">
      <c r="D19" s="5"/>
      <c r="E19" s="7"/>
      <c r="F19" s="6"/>
    </row>
    <row r="20" spans="4:6" x14ac:dyDescent="0.35">
      <c r="D20" s="8" t="s">
        <v>22</v>
      </c>
      <c r="E20" s="15">
        <f ca="1">SUMIF(ShoppingTable[Name],$E$17,OFFSET($A$3,1,MATCH($E$18,ShoppingTable[#Headers],0)-1,10,1))</f>
        <v>12</v>
      </c>
      <c r="F20" s="9" t="str">
        <f ca="1">IF(ISBLANK(OFFSET($A$3,-1,MATCH($E$18,ShoppingTable[#Headers],0)-1)),"",OFFSET($A$3,-1,MATCH($E$18,ShoppingTable[#Headers],0)-1))</f>
        <v/>
      </c>
    </row>
    <row r="21" spans="4:6" x14ac:dyDescent="0.35">
      <c r="D21" s="12" t="s">
        <v>24</v>
      </c>
    </row>
    <row r="22" spans="4:6" x14ac:dyDescent="0.35">
      <c r="D22" s="12" t="s">
        <v>25</v>
      </c>
    </row>
    <row r="23" spans="4:6" x14ac:dyDescent="0.35">
      <c r="D23" s="12"/>
    </row>
  </sheetData>
  <dataValidations count="2">
    <dataValidation type="list" allowBlank="1" showInputMessage="1" showErrorMessage="1" sqref="E17">
      <formula1>"Abby, Bill, Cathy, Derek, Emily"</formula1>
    </dataValidation>
    <dataValidation type="list" allowBlank="1" showInputMessage="1" showErrorMessage="1" sqref="E18">
      <formula1>$C$3:$L$3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1" r:id="rId4" name="Button 67">
              <controlPr defaultSize="0" print="0" autoFill="0" autoPict="0" macro="[0]!Grade">
                <anchor moveWithCells="1" sizeWithCells="1">
                  <from>
                    <xdr:col>7</xdr:col>
                    <xdr:colOff>127000</xdr:colOff>
                    <xdr:row>16</xdr:row>
                    <xdr:rowOff>177800</xdr:rowOff>
                  </from>
                  <to>
                    <xdr:col>8</xdr:col>
                    <xdr:colOff>514350</xdr:colOff>
                    <xdr:row>19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3"/>
  <sheetViews>
    <sheetView workbookViewId="0">
      <selection activeCell="D23" sqref="D23"/>
    </sheetView>
  </sheetViews>
  <sheetFormatPr defaultRowHeight="14.5" x14ac:dyDescent="0.35"/>
  <cols>
    <col min="1" max="1" width="12.7265625" bestFit="1" customWidth="1"/>
    <col min="5" max="5" width="14.453125" customWidth="1"/>
    <col min="6" max="6" width="11.90625" customWidth="1"/>
  </cols>
  <sheetData>
    <row r="1" spans="1:12" x14ac:dyDescent="0.35">
      <c r="A1" s="2" t="s">
        <v>11</v>
      </c>
    </row>
    <row r="2" spans="1:12" x14ac:dyDescent="0.35">
      <c r="C2" t="s">
        <v>5</v>
      </c>
      <c r="D2" t="s">
        <v>5</v>
      </c>
      <c r="E2" t="s">
        <v>6</v>
      </c>
      <c r="F2" t="s">
        <v>6</v>
      </c>
      <c r="G2" t="s">
        <v>6</v>
      </c>
      <c r="H2" t="s">
        <v>5</v>
      </c>
      <c r="I2" t="s">
        <v>5</v>
      </c>
      <c r="J2" t="s">
        <v>6</v>
      </c>
    </row>
    <row r="3" spans="1:12" x14ac:dyDescent="0.35">
      <c r="A3" s="2" t="s">
        <v>18</v>
      </c>
      <c r="B3" s="2" t="s">
        <v>17</v>
      </c>
      <c r="C3" s="2" t="s">
        <v>0</v>
      </c>
      <c r="D3" s="2" t="s">
        <v>2</v>
      </c>
      <c r="E3" s="2" t="s">
        <v>3</v>
      </c>
      <c r="F3" s="2" t="s">
        <v>4</v>
      </c>
      <c r="G3" s="2" t="s">
        <v>7</v>
      </c>
      <c r="H3" s="2" t="s">
        <v>8</v>
      </c>
      <c r="I3" s="2" t="s">
        <v>9</v>
      </c>
      <c r="J3" s="2" t="s">
        <v>10</v>
      </c>
      <c r="K3" s="2" t="s">
        <v>1</v>
      </c>
      <c r="L3" s="2" t="s">
        <v>19</v>
      </c>
    </row>
    <row r="4" spans="1:12" x14ac:dyDescent="0.35">
      <c r="A4" s="1">
        <v>43923</v>
      </c>
      <c r="B4" t="s">
        <v>12</v>
      </c>
      <c r="C4">
        <v>2</v>
      </c>
      <c r="D4">
        <v>0.25</v>
      </c>
      <c r="E4">
        <v>4</v>
      </c>
      <c r="F4">
        <v>0.25</v>
      </c>
      <c r="G4">
        <v>0.5</v>
      </c>
      <c r="H4">
        <v>1.5</v>
      </c>
      <c r="I4">
        <v>0.25</v>
      </c>
      <c r="J4">
        <v>2</v>
      </c>
      <c r="K4">
        <v>1</v>
      </c>
      <c r="L4">
        <v>0</v>
      </c>
    </row>
    <row r="5" spans="1:12" x14ac:dyDescent="0.35">
      <c r="A5" s="1">
        <v>43923</v>
      </c>
      <c r="B5" t="s">
        <v>13</v>
      </c>
      <c r="C5">
        <v>5</v>
      </c>
      <c r="D5">
        <v>2</v>
      </c>
      <c r="E5">
        <v>1</v>
      </c>
      <c r="F5">
        <v>1</v>
      </c>
      <c r="G5">
        <v>1.5</v>
      </c>
      <c r="H5">
        <v>5</v>
      </c>
      <c r="I5">
        <v>1.5</v>
      </c>
      <c r="J5">
        <v>3</v>
      </c>
      <c r="K5">
        <v>12</v>
      </c>
      <c r="L5">
        <v>2</v>
      </c>
    </row>
    <row r="6" spans="1:12" x14ac:dyDescent="0.35">
      <c r="A6" s="1">
        <v>43925</v>
      </c>
      <c r="B6" t="s">
        <v>14</v>
      </c>
      <c r="C6">
        <v>3</v>
      </c>
      <c r="D6">
        <v>0.75</v>
      </c>
      <c r="E6">
        <v>2</v>
      </c>
      <c r="F6">
        <v>0.5</v>
      </c>
      <c r="G6">
        <v>0.5</v>
      </c>
      <c r="H6">
        <v>2</v>
      </c>
      <c r="I6">
        <v>1</v>
      </c>
      <c r="J6">
        <v>1.5</v>
      </c>
      <c r="K6">
        <v>4</v>
      </c>
      <c r="L6">
        <v>0</v>
      </c>
    </row>
    <row r="7" spans="1:12" x14ac:dyDescent="0.35">
      <c r="A7" s="1">
        <v>43926</v>
      </c>
      <c r="B7" t="s">
        <v>15</v>
      </c>
      <c r="C7">
        <v>11.25</v>
      </c>
      <c r="D7">
        <v>3.75</v>
      </c>
      <c r="E7">
        <v>0</v>
      </c>
      <c r="F7">
        <v>0</v>
      </c>
      <c r="G7">
        <v>2.5</v>
      </c>
      <c r="H7">
        <v>0</v>
      </c>
      <c r="I7">
        <v>5</v>
      </c>
      <c r="J7">
        <v>5</v>
      </c>
      <c r="K7">
        <v>5</v>
      </c>
      <c r="L7">
        <v>0</v>
      </c>
    </row>
    <row r="8" spans="1:12" x14ac:dyDescent="0.35">
      <c r="A8" s="1">
        <v>43927</v>
      </c>
      <c r="B8" t="s">
        <v>13</v>
      </c>
      <c r="C8">
        <v>6.5</v>
      </c>
      <c r="D8">
        <v>0.25</v>
      </c>
      <c r="E8">
        <v>0</v>
      </c>
      <c r="F8">
        <v>0</v>
      </c>
      <c r="G8">
        <v>0</v>
      </c>
      <c r="H8">
        <v>0</v>
      </c>
      <c r="I8">
        <v>0.5</v>
      </c>
      <c r="J8">
        <v>0</v>
      </c>
      <c r="K8">
        <v>0</v>
      </c>
      <c r="L8">
        <v>1</v>
      </c>
    </row>
    <row r="9" spans="1:12" x14ac:dyDescent="0.35">
      <c r="A9" s="1">
        <v>43927</v>
      </c>
      <c r="B9" t="s">
        <v>12</v>
      </c>
      <c r="C9">
        <v>4</v>
      </c>
      <c r="D9">
        <v>0.5</v>
      </c>
      <c r="E9">
        <v>8</v>
      </c>
      <c r="F9">
        <v>0.5</v>
      </c>
      <c r="G9">
        <v>1</v>
      </c>
      <c r="H9">
        <v>3</v>
      </c>
      <c r="I9">
        <v>0.5</v>
      </c>
      <c r="J9">
        <v>4</v>
      </c>
      <c r="K9">
        <v>2</v>
      </c>
      <c r="L9">
        <v>0</v>
      </c>
    </row>
    <row r="10" spans="1:12" x14ac:dyDescent="0.35">
      <c r="A10" s="1">
        <v>43928</v>
      </c>
      <c r="B10" t="s">
        <v>16</v>
      </c>
      <c r="C10">
        <v>2</v>
      </c>
      <c r="D10">
        <v>1</v>
      </c>
      <c r="E10">
        <v>0.25</v>
      </c>
      <c r="F10">
        <v>0.5</v>
      </c>
      <c r="G10">
        <v>1.5</v>
      </c>
      <c r="H10">
        <v>2</v>
      </c>
      <c r="I10">
        <v>1.5</v>
      </c>
      <c r="J10">
        <v>2</v>
      </c>
      <c r="K10">
        <v>3</v>
      </c>
      <c r="L10">
        <v>1</v>
      </c>
    </row>
    <row r="11" spans="1:12" x14ac:dyDescent="0.35">
      <c r="A11" s="1">
        <v>43930</v>
      </c>
      <c r="B11" t="s">
        <v>12</v>
      </c>
      <c r="C11">
        <v>6.75</v>
      </c>
      <c r="D11">
        <v>2.25</v>
      </c>
      <c r="E11">
        <v>0</v>
      </c>
      <c r="F11">
        <v>0</v>
      </c>
      <c r="G11">
        <v>1.5</v>
      </c>
      <c r="H11">
        <v>0</v>
      </c>
      <c r="I11">
        <v>3</v>
      </c>
      <c r="J11">
        <v>3</v>
      </c>
      <c r="K11">
        <v>3</v>
      </c>
      <c r="L11">
        <v>0</v>
      </c>
    </row>
    <row r="12" spans="1:12" x14ac:dyDescent="0.35">
      <c r="A12" s="1">
        <v>43932</v>
      </c>
      <c r="B12" t="s">
        <v>15</v>
      </c>
      <c r="C12">
        <v>0</v>
      </c>
      <c r="D12">
        <v>2</v>
      </c>
      <c r="E12">
        <v>0.5</v>
      </c>
      <c r="F12">
        <v>0.25</v>
      </c>
      <c r="G12">
        <v>0.25</v>
      </c>
      <c r="H12">
        <v>0.5</v>
      </c>
      <c r="I12">
        <v>2</v>
      </c>
      <c r="J12">
        <v>1</v>
      </c>
      <c r="K12">
        <v>1</v>
      </c>
      <c r="L12">
        <v>0</v>
      </c>
    </row>
    <row r="13" spans="1:12" x14ac:dyDescent="0.35">
      <c r="A13" s="1">
        <v>43932</v>
      </c>
      <c r="B13" t="s">
        <v>14</v>
      </c>
      <c r="C13">
        <v>8</v>
      </c>
      <c r="D13">
        <v>3</v>
      </c>
      <c r="E13">
        <v>1</v>
      </c>
      <c r="F13">
        <v>1.5</v>
      </c>
      <c r="G13">
        <v>0.75</v>
      </c>
      <c r="H13">
        <v>2.5</v>
      </c>
      <c r="I13">
        <v>3</v>
      </c>
      <c r="J13">
        <v>1.5</v>
      </c>
      <c r="K13">
        <v>2</v>
      </c>
      <c r="L13">
        <v>1.5</v>
      </c>
    </row>
    <row r="14" spans="1:12" x14ac:dyDescent="0.35">
      <c r="A14" t="s">
        <v>23</v>
      </c>
      <c r="C14">
        <f>SUBTOTAL(109,Table25[Flour])</f>
        <v>48.5</v>
      </c>
      <c r="D14">
        <f>SUBTOTAL(109,Table25[Sugar])</f>
        <v>15.75</v>
      </c>
      <c r="E14">
        <f>SUBTOTAL(109,Table25[Baking powder])</f>
        <v>16.75</v>
      </c>
      <c r="F14">
        <f>SUBTOTAL(109,Table25[Baking soda])</f>
        <v>4.5</v>
      </c>
      <c r="G14">
        <f>SUBTOTAL(109,Table25[Salt])</f>
        <v>10</v>
      </c>
      <c r="H14">
        <f>SUBTOTAL(109,Table25[Milk])</f>
        <v>16.5</v>
      </c>
      <c r="I14">
        <f>SUBTOTAL(109,Table25[Butter])</f>
        <v>18.25</v>
      </c>
      <c r="J14">
        <f>SUBTOTAL(109,Table25[Vanilla])</f>
        <v>23</v>
      </c>
      <c r="K14">
        <f>SUBTOTAL(109,Table25[Eggs])</f>
        <v>33</v>
      </c>
      <c r="L14">
        <f>SUBTOTAL(109,Table25[Bananas])</f>
        <v>5.5</v>
      </c>
    </row>
    <row r="16" spans="1:12" ht="15" thickBot="1" x14ac:dyDescent="0.4"/>
    <row r="17" spans="4:6" ht="15" thickBot="1" x14ac:dyDescent="0.4">
      <c r="D17" s="3" t="s">
        <v>20</v>
      </c>
      <c r="E17" s="11"/>
      <c r="F17" s="4"/>
    </row>
    <row r="18" spans="4:6" ht="15" thickBot="1" x14ac:dyDescent="0.4">
      <c r="D18" s="5" t="s">
        <v>21</v>
      </c>
      <c r="E18" s="11"/>
      <c r="F18" s="6"/>
    </row>
    <row r="19" spans="4:6" ht="15" thickBot="1" x14ac:dyDescent="0.4">
      <c r="D19" s="5"/>
      <c r="E19" s="7"/>
      <c r="F19" s="6"/>
    </row>
    <row r="20" spans="4:6" x14ac:dyDescent="0.35">
      <c r="D20" s="8" t="s">
        <v>22</v>
      </c>
      <c r="E20" s="10"/>
      <c r="F20" s="9"/>
    </row>
    <row r="21" spans="4:6" x14ac:dyDescent="0.35">
      <c r="D21" s="12" t="s">
        <v>24</v>
      </c>
    </row>
    <row r="22" spans="4:6" x14ac:dyDescent="0.35">
      <c r="D22" s="12" t="s">
        <v>25</v>
      </c>
    </row>
    <row r="23" spans="4:6" x14ac:dyDescent="0.35">
      <c r="D23" s="12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Original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Avita</cp:lastModifiedBy>
  <dcterms:created xsi:type="dcterms:W3CDTF">2020-02-15T14:59:35Z</dcterms:created>
  <dcterms:modified xsi:type="dcterms:W3CDTF">2020-08-21T13:50:03Z</dcterms:modified>
</cp:coreProperties>
</file>